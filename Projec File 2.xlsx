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8855"/>
  </bookViews>
  <sheets>
    <sheet name="Doctors Information" sheetId="1" r:id="rId1"/>
    <sheet name="Appointments" sheetId="2" r:id="rId2"/>
    <sheet name="Billing Table" sheetId="3" r:id="rId3"/>
    <sheet name="Daily Revenue" sheetId="4" r:id="rId4"/>
    <sheet name="Doctor-wise Performa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<sst xmlns="http://schemas.openxmlformats.org/spreadsheetml/2006/main" count="105" uniqueCount="66">
  <si>
    <t>Doctor ID</t>
  </si>
  <si>
    <t>Doctor Name</t>
  </si>
  <si>
    <t>Department</t>
  </si>
  <si>
    <t>Consultation Fee</t>
  </si>
  <si>
    <t>D001</t>
  </si>
  <si>
    <t>Dr. Ayesha Khan</t>
  </si>
  <si>
    <t>Cardiology</t>
  </si>
  <si>
    <t>D002</t>
  </si>
  <si>
    <t>Dr. Bilal Ahmed</t>
  </si>
  <si>
    <t>Dermatology</t>
  </si>
  <si>
    <t>D003</t>
  </si>
  <si>
    <t>Dr. Fatima Noor</t>
  </si>
  <si>
    <t>Pediatrics</t>
  </si>
  <si>
    <t>D004</t>
  </si>
  <si>
    <t>Dr. Hamza Ali</t>
  </si>
  <si>
    <t>Orthopedics</t>
  </si>
  <si>
    <t>D005</t>
  </si>
  <si>
    <t>Dr. Sana Malik</t>
  </si>
  <si>
    <t>Gynecology</t>
  </si>
  <si>
    <t>D006</t>
  </si>
  <si>
    <t>Dr. Usman Tariq</t>
  </si>
  <si>
    <t>Neurology</t>
  </si>
  <si>
    <t>D007</t>
  </si>
  <si>
    <t>Dr. Zainab Hussain</t>
  </si>
  <si>
    <t>ENT</t>
  </si>
  <si>
    <t>D008</t>
  </si>
  <si>
    <t>Dr. Omar Farooq</t>
  </si>
  <si>
    <t>General Medicine</t>
  </si>
  <si>
    <t>D009</t>
  </si>
  <si>
    <t>Dr. Hira Shah</t>
  </si>
  <si>
    <t>Psychiatry</t>
  </si>
  <si>
    <t>D010</t>
  </si>
  <si>
    <t>Dr. Danish Qureshi</t>
  </si>
  <si>
    <t>Urology</t>
  </si>
  <si>
    <t>Appointment ID</t>
  </si>
  <si>
    <t>Patient Name</t>
  </si>
  <si>
    <t>Appointment Date</t>
  </si>
  <si>
    <t>Appointment Time</t>
  </si>
  <si>
    <t>Arrival Time</t>
  </si>
  <si>
    <t>Delay (mins)</t>
  </si>
  <si>
    <t>Status</t>
  </si>
  <si>
    <t>A001</t>
  </si>
  <si>
    <t>Ahmed Raza</t>
  </si>
  <si>
    <t>A002</t>
  </si>
  <si>
    <t>Sana Khalid</t>
  </si>
  <si>
    <t>A003</t>
  </si>
  <si>
    <t>Bilal Hussain</t>
  </si>
  <si>
    <t>A004</t>
  </si>
  <si>
    <t>Hira Ahmed</t>
  </si>
  <si>
    <t>A005</t>
  </si>
  <si>
    <t>Usman Ali</t>
  </si>
  <si>
    <t>A006</t>
  </si>
  <si>
    <t>Fatima Zahra</t>
  </si>
  <si>
    <t>A007</t>
  </si>
  <si>
    <t>Omar Farhan</t>
  </si>
  <si>
    <t>A008</t>
  </si>
  <si>
    <t>Ayesha Noor</t>
  </si>
  <si>
    <t>A009</t>
  </si>
  <si>
    <t>Danish Iqbal</t>
  </si>
  <si>
    <t>A010</t>
  </si>
  <si>
    <t>Zainab Tariq</t>
  </si>
  <si>
    <t>Doctor Fee</t>
  </si>
  <si>
    <t>Total Bill</t>
  </si>
  <si>
    <t>Date</t>
  </si>
  <si>
    <t>Total Patients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</si>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</sst>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hh:mm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10"/>
      <color theme="1"/>
      <name val="Roboto Serif"/>
      <charset val="134"/>
    </font>
    <font>
      <sz val="10"/>
      <color theme="1"/>
      <name val="Roboto Serif"/>
      <charset val="134"/>
    </font>
    <font>
      <sz val="10"/>
      <color rgb="FF000000"/>
      <name val="Roboto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6D6D"/>
        <bgColor rgb="FFFF6D6D"/>
      </patternFill>
    </fill>
    <fill>
      <patternFill patternType="solid">
        <fgColor rgb="FF93C47D"/>
        <bgColor rgb="FF93C47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/>
    <xf numFmtId="178" fontId="0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178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4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46" fontId="2" fillId="0" borderId="0" xfId="0" applyNumberFormat="1" applyFont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46" fontId="0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178" fontId="1" fillId="0" borderId="0" xfId="0" applyNumberFormat="1" applyFont="1" applyAlignment="1"/>
    <xf numFmtId="179" fontId="1" fillId="0" borderId="0" xfId="0" applyNumberFormat="1" applyFont="1" applyAlignme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0" borderId="0" xfId="0" applyFont="1" applyAlignme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6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E599"/>
          <bgColor rgb="FFFFE599"/>
        </patternFill>
      </fill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Doctors Information-style" pivot="0" count="4" xr9:uid="{122BD097-97C2-4B65-8FD6-2A58C2964FF3}">
      <tableStyleElement type="wholeTable" dxfId="29"/>
      <tableStyleElement type="headerRow" dxfId="28"/>
      <tableStyleElement type="firstRowStripe" dxfId="27"/>
      <tableStyleElement type="secondRowStripe" dxfId="26"/>
    </tableStyle>
    <tableStyle name="Appointments-style" pivot="0" count="4" xr9:uid="{B0DCC18C-E8DD-438C-941C-5CE25E09247F}">
      <tableStyleElement type="wholeTable" dxfId="33"/>
      <tableStyleElement type="headerRow" dxfId="32"/>
      <tableStyleElement type="firstRowStripe" dxfId="31"/>
      <tableStyleElement type="secondRowStripe" dxfId="30"/>
    </tableStyle>
    <tableStyle name="Billing Table-style" pivot="0" count="4" xr9:uid="{00416254-F7EF-46C2-AA42-E32A01BB4F2B}">
      <tableStyleElement type="wholeTable" dxfId="37"/>
      <tableStyleElement type="headerRow" dxfId="36"/>
      <tableStyleElement type="firstRowStripe" dxfId="35"/>
      <tableStyleElement type="secondRowStripe" dxfId="34"/>
    </tableStyle>
    <tableStyle name="Daily Revenue-style" pivot="0" count="4" xr9:uid="{7021E082-01CD-4882-9751-A3EC1BB6328D}">
      <tableStyleElement type="wholeTable" dxfId="41"/>
      <tableStyleElement type="headerRow" dxfId="40"/>
      <tableStyleElement type="firstRowStripe" dxfId="39"/>
      <tableStyleElement type="secondRowStripe" dxfId="38"/>
    </tableStyle>
    <tableStyle name="Doctor-wise Performance-style" pivot="0" count="4" xr9:uid="{E906F030-37D6-465A-94A3-1E7CE129315A}">
      <tableStyleElement type="wholeTable" dxfId="45"/>
      <tableStyleElement type="headerRow" dxfId="44"/>
      <tableStyleElement type="firstRowStripe" dxfId="43"/>
      <tableStyleElement type="secondRowStripe" dxfId="4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rgbClr val="FF0000"/>
                </a:solidFill>
                <a:latin typeface="+mn-lt"/>
              </a:rPr>
              <a:t>Doctor Wise Performance</a:t>
            </a:r>
            <a:endParaRPr b="1">
              <a:solidFill>
                <a:srgbClr val="FF0000"/>
              </a:solidFill>
              <a:latin typeface="+mn-lt"/>
            </a:endParaRPr>
          </a:p>
        </c:rich>
      </c:tx>
      <c:layout/>
      <c:overlay val="0"/>
    </c:title>
    <c:autoTitleDeleted val="0"/>
    <c:view3D>
      <c:rotX val="5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0"/>
          <c:dPt>
            <c:idx val="0"/>
            <c:bubble3D val="0"/>
            <c:spPr>
              <a:solidFill>
                <a:srgbClr val="4285F4"/>
              </a:solidFill>
            </c:spPr>
          </c:dPt>
          <c:dPt>
            <c:idx val="1"/>
            <c:bubble3D val="0"/>
            <c:spPr>
              <a:solidFill>
                <a:srgbClr val="EA4335"/>
              </a:solidFill>
            </c:spPr>
          </c:dPt>
          <c:dPt>
            <c:idx val="2"/>
            <c:bubble3D val="0"/>
            <c:spPr>
              <a:solidFill>
                <a:srgbClr val="FBBC04"/>
              </a:solidFill>
            </c:spPr>
          </c:dPt>
          <c:dPt>
            <c:idx val="3"/>
            <c:bubble3D val="0"/>
            <c:spPr>
              <a:solidFill>
                <a:srgbClr val="34A853"/>
              </a:solidFill>
            </c:spPr>
          </c:dPt>
          <c:dPt>
            <c:idx val="4"/>
            <c:bubble3D val="0"/>
            <c:spPr>
              <a:solidFill>
                <a:srgbClr val="FF6D01"/>
              </a:solidFill>
            </c:spPr>
          </c:dPt>
          <c:dPt>
            <c:idx val="5"/>
            <c:bubble3D val="0"/>
            <c:spPr>
              <a:solidFill>
                <a:srgbClr val="46BDC6"/>
              </a:solidFill>
            </c:spPr>
          </c:dPt>
          <c:dPt>
            <c:idx val="6"/>
            <c:bubble3D val="0"/>
            <c:spPr>
              <a:solidFill>
                <a:srgbClr val="7BAAF7"/>
              </a:solidFill>
            </c:spPr>
          </c:dPt>
          <c:dPt>
            <c:idx val="7"/>
            <c:bubble3D val="0"/>
            <c:spPr>
              <a:solidFill>
                <a:srgbClr val="F07B72"/>
              </a:solidFill>
            </c:spPr>
          </c:dPt>
          <c:dPt>
            <c:idx val="8"/>
            <c:bubble3D val="0"/>
            <c:spPr>
              <a:solidFill>
                <a:srgbClr val="FCD04F"/>
              </a:solidFill>
            </c:spPr>
          </c:dPt>
          <c:dPt>
            <c:idx val="9"/>
            <c:bubble3D val="0"/>
            <c:spPr>
              <a:solidFill>
                <a:srgbClr val="71C287"/>
              </a:solidFill>
            </c:spPr>
          </c:dPt>
          <c:dLbls>
            <c:delete val="1"/>
          </c:dLbls>
          <c:cat>
            <c:strRef>
              <c:f>'Doctor-wise Performance'!$C$5:$C$14</c:f>
              <c:strCache>
                <c:ptCount val="10"/>
                <c:pt idx="0">
                  <c:v>Dr. Ayesha Khan</c:v>
                </c:pt>
                <c:pt idx="1">
                  <c:v>Dr. Bilal Ahmed</c:v>
                </c:pt>
                <c:pt idx="2">
                  <c:v>Dr. Fatima Noor</c:v>
                </c:pt>
                <c:pt idx="3">
                  <c:v>Dr. Hamza Ali</c:v>
                </c:pt>
                <c:pt idx="4">
                  <c:v>Dr. Sana Malik</c:v>
                </c:pt>
                <c:pt idx="5">
                  <c:v>Dr. Usman Tariq</c:v>
                </c:pt>
                <c:pt idx="6">
                  <c:v>Dr. Zainab Hussain</c:v>
                </c:pt>
                <c:pt idx="7">
                  <c:v>Dr. Omar Farooq</c:v>
                </c:pt>
                <c:pt idx="8">
                  <c:v>Dr. Hira Shah</c:v>
                </c:pt>
                <c:pt idx="9">
                  <c:v>Dr. Danish Qureshi</c:v>
                </c:pt>
              </c:strCache>
            </c:strRef>
          </c:cat>
          <c:val>
            <c:numRef>
              <c:f>'Doctor-wise Performance'!$E$5:$E$14</c:f>
              <c:numCache>
                <c:formatCode>General</c:formatCode>
                <c:ptCount val="10"/>
                <c:pt idx="0">
                  <c:v>2500</c:v>
                </c:pt>
                <c:pt idx="1">
                  <c:v>1800</c:v>
                </c:pt>
                <c:pt idx="2">
                  <c:v>2000</c:v>
                </c:pt>
                <c:pt idx="3">
                  <c:v>2200</c:v>
                </c:pt>
                <c:pt idx="4">
                  <c:v>2400</c:v>
                </c:pt>
                <c:pt idx="5">
                  <c:v>3000</c:v>
                </c:pt>
                <c:pt idx="6">
                  <c:v>1700</c:v>
                </c:pt>
                <c:pt idx="7">
                  <c:v>1500</c:v>
                </c:pt>
                <c:pt idx="8">
                  <c:v>2100</c:v>
                </c:pt>
                <c:pt idx="9">
                  <c:v>2300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b60aed-4fb4-4b1b-9feb-ce9030857dae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457200</xdr:colOff>
      <xdr:row>3</xdr:row>
      <xdr:rowOff>171450</xdr:rowOff>
    </xdr:from>
    <xdr:ext cx="4629150" cy="2867025"/>
    <xdr:graphicFrame>
      <xdr:nvGraphicFramePr>
        <xdr:cNvPr id="2" name="Chart 1" title="Chart"/>
        <xdr:cNvGraphicFramePr/>
      </xdr:nvGraphicFramePr>
      <xdr:xfrm>
        <a:off x="5867400" y="771525"/>
        <a:ext cx="4629150" cy="2867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Doctors_Informaion" displayName="Doctors_Informaion" ref="B5:E15">
  <tableColumns count="4">
    <tableColumn id="1" name="Doctor ID" dataDxfId="0"/>
    <tableColumn id="2" name="Doctor Name" dataDxfId="1"/>
    <tableColumn id="3" name="Department" dataDxfId="2"/>
    <tableColumn id="4" name="Consultation Fee" dataDxfId="3"/>
  </tableColumns>
  <tableStyleInfo name="Doctors Information-style" showFirstColumn="1" showLastColumn="1" showRowStripes="1" showColumnStripes="0"/>
</table>
</file>

<file path=xl/tables/table2.xml><?xml version="1.0" encoding="utf-8"?>
<table xmlns="http://schemas.openxmlformats.org/spreadsheetml/2006/main" id="2" name="Appointments_Table" displayName="Appointments_Table" ref="B4:I14">
  <tableColumns count="8">
    <tableColumn id="1" name="Appointment ID" dataDxfId="4"/>
    <tableColumn id="2" name="Patient Name" dataDxfId="5"/>
    <tableColumn id="3" name="Doctor ID" dataDxfId="6"/>
    <tableColumn id="4" name="Appointment Date" dataDxfId="7"/>
    <tableColumn id="5" name="Appointment Time" dataDxfId="8"/>
    <tableColumn id="6" name="Arrival Time" dataDxfId="9"/>
    <tableColumn id="7" name="Delay (mins)" dataDxfId="10"/>
    <tableColumn id="8" name="Status" dataDxfId="11"/>
  </tableColumns>
  <tableStyleInfo name="Appointments-style" showFirstColumn="1" showLastColumn="1" showRowStripes="1" showColumnStripes="0"/>
</table>
</file>

<file path=xl/tables/table3.xml><?xml version="1.0" encoding="utf-8"?>
<table xmlns="http://schemas.openxmlformats.org/spreadsheetml/2006/main" id="3" name="Billing_Table" displayName="Billing_Table" ref="B4:G14">
  <tableColumns count="6">
    <tableColumn id="1" name="Appointment ID" dataDxfId="13"/>
    <tableColumn id="2" name="Appointment Date" dataDxfId="14"/>
    <tableColumn id="3" name="Patient Name" dataDxfId="15"/>
    <tableColumn id="4" name="Doctor ID" dataDxfId="16"/>
    <tableColumn id="5" name="Doctor Fee" dataDxfId="17"/>
    <tableColumn id="6" name="Total Bill" dataDxfId="18"/>
  </tableColumns>
  <tableStyleInfo name="Billing Table-style" showFirstColumn="1" showLastColumn="1" showRowStripes="1" showColumnStripes="0"/>
</table>
</file>

<file path=xl/tables/table4.xml><?xml version="1.0" encoding="utf-8"?>
<table xmlns="http://schemas.openxmlformats.org/spreadsheetml/2006/main" id="4" name="Daily_Revenue" displayName="Daily_Revenue" ref="B4:D8">
  <tableColumns count="3">
    <tableColumn id="1" name="Date" dataDxfId="19"/>
    <tableColumn id="2" name="Total Patients" dataDxfId="20"/>
    <tableColumn id="3" name="Total Revenue" dataDxfId="21"/>
  </tableColumns>
  <tableStyleInfo name="Daily Revenue-style" showFirstColumn="1" showLastColumn="1" showRowStripes="1" showColumnStripes="0"/>
</table>
</file>

<file path=xl/tables/table5.xml><?xml version="1.0" encoding="utf-8"?>
<table xmlns="http://schemas.openxmlformats.org/spreadsheetml/2006/main" id="5" name="Doctor_wise_Performance" displayName="Doctor_wise_Performance" ref="B4:E14">
  <tableColumns count="4">
    <tableColumn id="1" name="Doctor ID" dataDxfId="22"/>
    <tableColumn id="2" name="Doctor Name" dataDxfId="23"/>
    <tableColumn id="3" name="Total Patients" dataDxfId="24"/>
    <tableColumn id="4" name="Total Revenue" dataDxfId="25"/>
  </tableColumns>
  <tableStyleInfo name="Doctor-wise Performanc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4:E15"/>
  <sheetViews>
    <sheetView tabSelected="1" workbookViewId="0">
      <selection activeCell="A1" sqref="A1"/>
    </sheetView>
  </sheetViews>
  <sheetFormatPr defaultColWidth="12.6296296296296" defaultRowHeight="15.75" customHeight="1" outlineLevelCol="4"/>
  <cols>
    <col min="2" max="2" width="17.3796296296296" customWidth="1"/>
    <col min="3" max="3" width="20" customWidth="1"/>
    <col min="4" max="4" width="17.25" customWidth="1"/>
    <col min="5" max="5" width="20.6296296296296" customWidth="1"/>
  </cols>
  <sheetData>
    <row r="4" ht="13.2" spans="2:5">
      <c r="B4" s="20"/>
      <c r="C4" s="21"/>
      <c r="D4" s="21"/>
      <c r="E4" s="21"/>
    </row>
    <row r="5" ht="22.5" customHeight="1" spans="2:5">
      <c r="B5" s="22" t="s">
        <v>0</v>
      </c>
      <c r="C5" s="22" t="s">
        <v>1</v>
      </c>
      <c r="D5" s="22" t="s">
        <v>2</v>
      </c>
      <c r="E5" s="22" t="s">
        <v>3</v>
      </c>
    </row>
    <row r="6" ht="22.5" customHeight="1" spans="2:5">
      <c r="B6" s="23" t="s">
        <v>4</v>
      </c>
      <c r="C6" s="24" t="s">
        <v>5</v>
      </c>
      <c r="D6" s="24" t="s">
        <v>6</v>
      </c>
      <c r="E6" s="24">
        <v>2500</v>
      </c>
    </row>
    <row r="7" ht="22.5" customHeight="1" spans="2:5">
      <c r="B7" s="23" t="s">
        <v>7</v>
      </c>
      <c r="C7" s="24" t="s">
        <v>8</v>
      </c>
      <c r="D7" s="24" t="s">
        <v>9</v>
      </c>
      <c r="E7" s="24">
        <v>1800</v>
      </c>
    </row>
    <row r="8" ht="22.5" customHeight="1" spans="2:5">
      <c r="B8" s="23" t="s">
        <v>10</v>
      </c>
      <c r="C8" s="24" t="s">
        <v>11</v>
      </c>
      <c r="D8" s="24" t="s">
        <v>12</v>
      </c>
      <c r="E8" s="24">
        <v>2000</v>
      </c>
    </row>
    <row r="9" ht="22.5" customHeight="1" spans="2:5">
      <c r="B9" s="23" t="s">
        <v>13</v>
      </c>
      <c r="C9" s="24" t="s">
        <v>14</v>
      </c>
      <c r="D9" s="24" t="s">
        <v>15</v>
      </c>
      <c r="E9" s="24">
        <v>2200</v>
      </c>
    </row>
    <row r="10" ht="22.5" customHeight="1" spans="2:5">
      <c r="B10" s="23" t="s">
        <v>16</v>
      </c>
      <c r="C10" s="24" t="s">
        <v>17</v>
      </c>
      <c r="D10" s="24" t="s">
        <v>18</v>
      </c>
      <c r="E10" s="24">
        <v>2400</v>
      </c>
    </row>
    <row r="11" ht="22.5" customHeight="1" spans="2:5">
      <c r="B11" s="23" t="s">
        <v>19</v>
      </c>
      <c r="C11" s="24" t="s">
        <v>20</v>
      </c>
      <c r="D11" s="24" t="s">
        <v>21</v>
      </c>
      <c r="E11" s="24">
        <v>3000</v>
      </c>
    </row>
    <row r="12" ht="22.5" customHeight="1" spans="2:5">
      <c r="B12" s="23" t="s">
        <v>22</v>
      </c>
      <c r="C12" s="24" t="s">
        <v>23</v>
      </c>
      <c r="D12" s="24" t="s">
        <v>24</v>
      </c>
      <c r="E12" s="24">
        <v>1700</v>
      </c>
    </row>
    <row r="13" ht="22.5" customHeight="1" spans="2:5">
      <c r="B13" s="23" t="s">
        <v>25</v>
      </c>
      <c r="C13" s="24" t="s">
        <v>26</v>
      </c>
      <c r="D13" s="24" t="s">
        <v>27</v>
      </c>
      <c r="E13" s="24">
        <v>1500</v>
      </c>
    </row>
    <row r="14" ht="22.5" customHeight="1" spans="2:5">
      <c r="B14" s="23" t="s">
        <v>28</v>
      </c>
      <c r="C14" s="24" t="s">
        <v>29</v>
      </c>
      <c r="D14" s="24" t="s">
        <v>30</v>
      </c>
      <c r="E14" s="24">
        <v>2100</v>
      </c>
    </row>
    <row r="15" ht="22.5" customHeight="1" spans="2:5">
      <c r="B15" s="23" t="s">
        <v>31</v>
      </c>
      <c r="C15" s="24" t="s">
        <v>32</v>
      </c>
      <c r="D15" s="24" t="s">
        <v>33</v>
      </c>
      <c r="E15" s="24">
        <v>2300</v>
      </c>
    </row>
  </sheetData>
  <dataValidations count="1">
    <dataValidation type="list" allowBlank="1" sqref="B6:B15">
      <formula1>"D001,D002,D003,D004,D005,D006,D007,D008,D009,D010"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I31"/>
  <sheetViews>
    <sheetView workbookViewId="0">
      <selection activeCell="A1" sqref="A1"/>
    </sheetView>
  </sheetViews>
  <sheetFormatPr defaultColWidth="12.6296296296296" defaultRowHeight="15.75" customHeight="1"/>
  <cols>
    <col min="2" max="2" width="20.3796296296296" customWidth="1"/>
    <col min="3" max="3" width="17.25" customWidth="1"/>
    <col min="4" max="4" width="16.8796296296296" customWidth="1"/>
    <col min="5" max="5" width="22.25" customWidth="1"/>
    <col min="6" max="6" width="22.6296296296296" customWidth="1"/>
    <col min="7" max="7" width="17.8796296296296" customWidth="1"/>
    <col min="8" max="8" width="14.8796296296296" customWidth="1"/>
  </cols>
  <sheetData>
    <row r="2" ht="13.2" spans="8:8">
      <c r="H2" s="8"/>
    </row>
    <row r="3" ht="13.2" spans="8:8">
      <c r="H3" s="8"/>
    </row>
    <row r="4" ht="22.5" customHeight="1" spans="2:9">
      <c r="B4" s="9" t="s">
        <v>34</v>
      </c>
      <c r="C4" s="9" t="s">
        <v>35</v>
      </c>
      <c r="D4" s="9" t="s">
        <v>0</v>
      </c>
      <c r="E4" s="9" t="s">
        <v>36</v>
      </c>
      <c r="F4" s="9" t="s">
        <v>37</v>
      </c>
      <c r="G4" s="9" t="s">
        <v>38</v>
      </c>
      <c r="H4" s="10" t="s">
        <v>39</v>
      </c>
      <c r="I4" s="9" t="s">
        <v>40</v>
      </c>
    </row>
    <row r="5" ht="22.5" customHeight="1" spans="2:9">
      <c r="B5" s="1" t="s">
        <v>41</v>
      </c>
      <c r="C5" s="2" t="s">
        <v>42</v>
      </c>
      <c r="D5" s="2" t="s">
        <v>4</v>
      </c>
      <c r="E5" s="6">
        <v>46065</v>
      </c>
      <c r="F5" s="11">
        <v>0.375</v>
      </c>
      <c r="G5" s="11">
        <v>0.381944444444444</v>
      </c>
      <c r="H5" s="12">
        <f t="shared" ref="H5:H14" si="0">IF(G5="","",G5-F5)</f>
        <v>0.00694444444444442</v>
      </c>
      <c r="I5" s="16" t="str">
        <f t="shared" ref="I5:I14" si="1">IF(G5="","Missed",IF(H5=0,"On Time","Late"))</f>
        <v>Late</v>
      </c>
    </row>
    <row r="6" ht="22.5" customHeight="1" spans="2:9">
      <c r="B6" s="1" t="s">
        <v>43</v>
      </c>
      <c r="C6" s="2" t="s">
        <v>44</v>
      </c>
      <c r="D6" s="2" t="s">
        <v>10</v>
      </c>
      <c r="E6" s="6">
        <v>46065</v>
      </c>
      <c r="F6" s="11">
        <v>0.395833333333333</v>
      </c>
      <c r="G6" s="11">
        <v>0.402777777777778</v>
      </c>
      <c r="H6" s="12">
        <f t="shared" si="0"/>
        <v>0.00694444444444448</v>
      </c>
      <c r="I6" s="17" t="str">
        <f t="shared" si="1"/>
        <v>Late</v>
      </c>
    </row>
    <row r="7" ht="22.5" customHeight="1" spans="2:9">
      <c r="B7" s="1" t="s">
        <v>45</v>
      </c>
      <c r="C7" s="2" t="s">
        <v>46</v>
      </c>
      <c r="D7" s="2" t="s">
        <v>7</v>
      </c>
      <c r="E7" s="6">
        <v>46065</v>
      </c>
      <c r="F7" s="11">
        <v>0.416666666666667</v>
      </c>
      <c r="G7" s="11"/>
      <c r="H7" s="12" t="str">
        <f t="shared" si="0"/>
        <v/>
      </c>
      <c r="I7" s="18" t="str">
        <f t="shared" si="1"/>
        <v>Missed</v>
      </c>
    </row>
    <row r="8" ht="22.5" customHeight="1" spans="2:9">
      <c r="B8" s="1" t="s">
        <v>47</v>
      </c>
      <c r="C8" s="2" t="s">
        <v>48</v>
      </c>
      <c r="D8" s="2" t="s">
        <v>16</v>
      </c>
      <c r="E8" s="6">
        <v>46065</v>
      </c>
      <c r="F8" s="11">
        <v>0.4375</v>
      </c>
      <c r="G8" s="11">
        <v>0.443055555555556</v>
      </c>
      <c r="H8" s="12">
        <f t="shared" si="0"/>
        <v>0.00555555555555554</v>
      </c>
      <c r="I8" s="17" t="str">
        <f t="shared" si="1"/>
        <v>Late</v>
      </c>
    </row>
    <row r="9" ht="22.5" customHeight="1" spans="2:9">
      <c r="B9" s="1" t="s">
        <v>49</v>
      </c>
      <c r="C9" s="2" t="s">
        <v>50</v>
      </c>
      <c r="D9" s="2" t="s">
        <v>13</v>
      </c>
      <c r="E9" s="6">
        <v>46065</v>
      </c>
      <c r="F9" s="11">
        <v>0.458333333333333</v>
      </c>
      <c r="G9" s="11">
        <v>0.458333333333333</v>
      </c>
      <c r="H9" s="12">
        <f t="shared" si="0"/>
        <v>0</v>
      </c>
      <c r="I9" s="19" t="str">
        <f t="shared" si="1"/>
        <v>On Time</v>
      </c>
    </row>
    <row r="10" ht="22.5" customHeight="1" spans="2:9">
      <c r="B10" s="1" t="s">
        <v>51</v>
      </c>
      <c r="C10" s="2" t="s">
        <v>52</v>
      </c>
      <c r="D10" s="2" t="s">
        <v>19</v>
      </c>
      <c r="E10" s="6">
        <v>46066</v>
      </c>
      <c r="F10" s="11">
        <v>0.385416666666667</v>
      </c>
      <c r="G10" s="11"/>
      <c r="H10" s="12" t="str">
        <f t="shared" si="0"/>
        <v/>
      </c>
      <c r="I10" s="18" t="str">
        <f t="shared" si="1"/>
        <v>Missed</v>
      </c>
    </row>
    <row r="11" ht="22.5" customHeight="1" spans="2:9">
      <c r="B11" s="1" t="s">
        <v>53</v>
      </c>
      <c r="C11" s="2" t="s">
        <v>54</v>
      </c>
      <c r="D11" s="2" t="s">
        <v>22</v>
      </c>
      <c r="E11" s="6">
        <v>46066</v>
      </c>
      <c r="F11" s="11">
        <v>0.40625</v>
      </c>
      <c r="G11" s="11">
        <v>0.413194444444444</v>
      </c>
      <c r="H11" s="12">
        <f t="shared" si="0"/>
        <v>0.00694444444444442</v>
      </c>
      <c r="I11" s="17" t="str">
        <f t="shared" si="1"/>
        <v>Late</v>
      </c>
    </row>
    <row r="12" ht="22.5" customHeight="1" spans="2:9">
      <c r="B12" s="1" t="s">
        <v>55</v>
      </c>
      <c r="C12" s="2" t="s">
        <v>56</v>
      </c>
      <c r="D12" s="2" t="s">
        <v>25</v>
      </c>
      <c r="E12" s="6">
        <v>46066</v>
      </c>
      <c r="F12" s="11">
        <v>0.427083333333333</v>
      </c>
      <c r="G12" s="11">
        <v>0.436111111111111</v>
      </c>
      <c r="H12" s="12">
        <f t="shared" si="0"/>
        <v>0.0090277777777778</v>
      </c>
      <c r="I12" s="17" t="str">
        <f t="shared" si="1"/>
        <v>Late</v>
      </c>
    </row>
    <row r="13" ht="22.5" customHeight="1" spans="2:9">
      <c r="B13" s="1" t="s">
        <v>57</v>
      </c>
      <c r="C13" s="2" t="s">
        <v>58</v>
      </c>
      <c r="D13" s="2" t="s">
        <v>28</v>
      </c>
      <c r="E13" s="6">
        <v>46066</v>
      </c>
      <c r="F13" s="11">
        <v>0.447916666666667</v>
      </c>
      <c r="G13" s="11">
        <v>0.447916666666667</v>
      </c>
      <c r="H13" s="12">
        <f t="shared" si="0"/>
        <v>0</v>
      </c>
      <c r="I13" s="19" t="str">
        <f t="shared" si="1"/>
        <v>On Time</v>
      </c>
    </row>
    <row r="14" ht="22.5" customHeight="1" spans="2:9">
      <c r="B14" s="1" t="s">
        <v>59</v>
      </c>
      <c r="C14" s="2" t="s">
        <v>60</v>
      </c>
      <c r="D14" s="2" t="s">
        <v>31</v>
      </c>
      <c r="E14" s="6">
        <v>46066</v>
      </c>
      <c r="F14" s="11">
        <v>0.46875</v>
      </c>
      <c r="G14" s="11">
        <v>0.479166666666667</v>
      </c>
      <c r="H14" s="12">
        <f t="shared" si="0"/>
        <v>0.0104166666666667</v>
      </c>
      <c r="I14" s="17" t="str">
        <f t="shared" si="1"/>
        <v>Late</v>
      </c>
    </row>
    <row r="20" ht="13.2" spans="2:7">
      <c r="B20" s="13"/>
      <c r="C20" s="13"/>
      <c r="D20" s="13"/>
      <c r="E20" s="13"/>
      <c r="F20" s="13"/>
      <c r="G20" s="13"/>
    </row>
    <row r="21" ht="13.2" spans="5:7">
      <c r="E21" s="14"/>
      <c r="F21" s="15"/>
      <c r="G21" s="15"/>
    </row>
    <row r="22" ht="13.2" spans="5:7">
      <c r="E22" s="14"/>
      <c r="F22" s="15"/>
      <c r="G22" s="15"/>
    </row>
    <row r="23" ht="13.2" spans="5:7">
      <c r="E23" s="14"/>
      <c r="F23" s="15"/>
      <c r="G23" s="15"/>
    </row>
    <row r="24" ht="13.2" spans="5:7">
      <c r="E24" s="14"/>
      <c r="F24" s="15"/>
      <c r="G24" s="15"/>
    </row>
    <row r="25" ht="13.2" spans="5:7">
      <c r="E25" s="14"/>
      <c r="F25" s="15"/>
      <c r="G25" s="15"/>
    </row>
    <row r="26" ht="13.2" spans="5:7">
      <c r="E26" s="14"/>
      <c r="F26" s="15"/>
      <c r="G26" s="15"/>
    </row>
    <row r="27" ht="13.2" spans="5:7">
      <c r="E27" s="14"/>
      <c r="F27" s="15"/>
      <c r="G27" s="15"/>
    </row>
    <row r="28" ht="13.2" spans="5:7">
      <c r="E28" s="14"/>
      <c r="F28" s="15"/>
      <c r="G28" s="15"/>
    </row>
    <row r="29" ht="13.2" spans="5:7">
      <c r="E29" s="14"/>
      <c r="F29" s="15"/>
      <c r="G29" s="15"/>
    </row>
    <row r="30" ht="13.2" spans="5:7">
      <c r="E30" s="14"/>
      <c r="F30" s="15"/>
      <c r="G30" s="15"/>
    </row>
    <row r="31" ht="13.2" spans="5:7">
      <c r="E31" s="14"/>
      <c r="F31" s="15"/>
      <c r="G31" s="15"/>
    </row>
  </sheetData>
  <conditionalFormatting sqref="I5">
    <cfRule type="notContainsBlanks" dxfId="12" priority="1">
      <formula>LEN(TRIM(I5))&gt;0</formula>
    </cfRule>
  </conditionalFormatting>
  <dataValidations count="4">
    <dataValidation type="list" allowBlank="1" sqref="B5:B14">
      <formula1>"A001,A002,A003,A004,A005,A006,A007,A008,A009,A010"</formula1>
    </dataValidation>
    <dataValidation type="list" allowBlank="1" sqref="D5:D14">
      <formula1>"D001,D003,D002,D005,D004,D006,D007,D008,D009,D010"</formula1>
    </dataValidation>
    <dataValidation type="custom" allowBlank="1" sqref="E5:E14">
      <formula1>OR(NOT(ISERROR(DATEVALUE(E5))),AND(ISNUMBER(E5),LEFT(CELL("format",E5))="D"))</formula1>
    </dataValidation>
    <dataValidation type="custom" allowBlank="1" sqref="F5:G14">
      <formula1>OR(TIMEVALUE(TEXT(F5,"hh:mm:ss"))=F5,AND(ISNUMBER(F5),LEFT(CELL("format",F5))="D"))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4:G16"/>
  <sheetViews>
    <sheetView workbookViewId="0">
      <selection activeCell="A1" sqref="A1"/>
    </sheetView>
  </sheetViews>
  <sheetFormatPr defaultColWidth="12.6296296296296" defaultRowHeight="15.75" customHeight="1" outlineLevelCol="6"/>
  <cols>
    <col min="2" max="2" width="20.25" customWidth="1"/>
    <col min="3" max="3" width="20.1296296296296" customWidth="1"/>
    <col min="4" max="4" width="16.8796296296296" customWidth="1"/>
    <col min="5" max="5" width="16.1296296296296" customWidth="1"/>
    <col min="6" max="6" width="19.25" customWidth="1"/>
    <col min="7" max="7" width="17.8796296296296" customWidth="1"/>
  </cols>
  <sheetData>
    <row r="4" ht="22.5" customHeight="1" spans="2:7">
      <c r="B4" s="1" t="s">
        <v>34</v>
      </c>
      <c r="C4" s="1" t="s">
        <v>36</v>
      </c>
      <c r="D4" s="1" t="s">
        <v>35</v>
      </c>
      <c r="E4" s="1" t="s">
        <v>0</v>
      </c>
      <c r="F4" s="1" t="s">
        <v>61</v>
      </c>
      <c r="G4" s="1" t="s">
        <v>62</v>
      </c>
    </row>
    <row r="5" ht="22.5" customHeight="1" spans="2:7">
      <c r="B5" s="1" t="s">
        <v>41</v>
      </c>
      <c r="C5" s="6">
        <f>VLOOKUP(B5,Appointments_Table[],4,FALSE)</f>
        <v>46065</v>
      </c>
      <c r="D5" s="7" t="str">
        <f>VLOOKUP(B5,Appointments_Table[],2,FALSE)</f>
        <v>Ahmed Raza</v>
      </c>
      <c r="E5" s="1" t="str">
        <f>VLOOKUP(B5,Appointments_Table[],3,FALSE)</f>
        <v>D001</v>
      </c>
      <c r="F5" s="2">
        <f>VLOOKUP(E5,Doctors_Informaion[],4,FALSE)</f>
        <v>2500</v>
      </c>
      <c r="G5" s="2">
        <f t="shared" ref="G5:G14" si="0">F5</f>
        <v>2500</v>
      </c>
    </row>
    <row r="6" ht="22.5" customHeight="1" spans="2:7">
      <c r="B6" s="1" t="s">
        <v>43</v>
      </c>
      <c r="C6" s="6">
        <f>VLOOKUP(B6,Appointments_Table[],4,FALSE)</f>
        <v>46065</v>
      </c>
      <c r="D6" s="7" t="str">
        <f>VLOOKUP(B6,Appointments_Table[],2,FALSE)</f>
        <v>Sana Khalid</v>
      </c>
      <c r="E6" s="1" t="str">
        <f>VLOOKUP(B6,Appointments_Table[],3,FALSE)</f>
        <v>D003</v>
      </c>
      <c r="F6" s="2">
        <f>VLOOKUP(E6,Doctors_Informaion[],4,FALSE)</f>
        <v>2000</v>
      </c>
      <c r="G6" s="2">
        <f t="shared" si="0"/>
        <v>2000</v>
      </c>
    </row>
    <row r="7" ht="22.5" customHeight="1" spans="2:7">
      <c r="B7" s="1" t="s">
        <v>45</v>
      </c>
      <c r="C7" s="6">
        <f>VLOOKUP(B7,Appointments_Table[],4,FALSE)</f>
        <v>46065</v>
      </c>
      <c r="D7" s="7" t="str">
        <f>VLOOKUP(B7,Appointments_Table[],2,FALSE)</f>
        <v>Bilal Hussain</v>
      </c>
      <c r="E7" s="1" t="str">
        <f>VLOOKUP(B7,Appointments_Table[],3,FALSE)</f>
        <v>D002</v>
      </c>
      <c r="F7" s="2">
        <f>VLOOKUP(E7,Doctors_Informaion[],4,FALSE)</f>
        <v>1800</v>
      </c>
      <c r="G7" s="2">
        <f t="shared" si="0"/>
        <v>1800</v>
      </c>
    </row>
    <row r="8" ht="22.5" customHeight="1" spans="2:7">
      <c r="B8" s="1" t="s">
        <v>47</v>
      </c>
      <c r="C8" s="6">
        <f>VLOOKUP(B8,Appointments_Table[],4,FALSE)</f>
        <v>46065</v>
      </c>
      <c r="D8" s="7" t="str">
        <f>VLOOKUP(B8,Appointments_Table[],2,FALSE)</f>
        <v>Hira Ahmed</v>
      </c>
      <c r="E8" s="1" t="str">
        <f>VLOOKUP(B8,Appointments_Table[],3,FALSE)</f>
        <v>D005</v>
      </c>
      <c r="F8" s="2">
        <f>VLOOKUP(E8,Doctors_Informaion[],4,FALSE)</f>
        <v>2400</v>
      </c>
      <c r="G8" s="2">
        <f t="shared" si="0"/>
        <v>2400</v>
      </c>
    </row>
    <row r="9" ht="22.5" customHeight="1" spans="2:7">
      <c r="B9" s="1" t="s">
        <v>49</v>
      </c>
      <c r="C9" s="6">
        <f>VLOOKUP(B9,Appointments_Table[],4,FALSE)</f>
        <v>46065</v>
      </c>
      <c r="D9" s="7" t="str">
        <f>VLOOKUP(B9,Appointments_Table[],2,FALSE)</f>
        <v>Usman Ali</v>
      </c>
      <c r="E9" s="1" t="str">
        <f>VLOOKUP(B9,Appointments_Table[],3,FALSE)</f>
        <v>D004</v>
      </c>
      <c r="F9" s="2">
        <f>VLOOKUP(E9,Doctors_Informaion[],4,FALSE)</f>
        <v>2200</v>
      </c>
      <c r="G9" s="2">
        <f t="shared" si="0"/>
        <v>2200</v>
      </c>
    </row>
    <row r="10" ht="22.5" customHeight="1" spans="2:7">
      <c r="B10" s="1" t="s">
        <v>51</v>
      </c>
      <c r="C10" s="6">
        <f>VLOOKUP(B10,Appointments_Table[],4,FALSE)</f>
        <v>46066</v>
      </c>
      <c r="D10" s="7" t="str">
        <f>VLOOKUP(B10,Appointments_Table[],2,FALSE)</f>
        <v>Fatima Zahra</v>
      </c>
      <c r="E10" s="1" t="str">
        <f>VLOOKUP(B10,Appointments_Table[],3,FALSE)</f>
        <v>D006</v>
      </c>
      <c r="F10" s="2">
        <f>VLOOKUP(E10,Doctors_Informaion[],4,FALSE)</f>
        <v>3000</v>
      </c>
      <c r="G10" s="2">
        <f t="shared" si="0"/>
        <v>3000</v>
      </c>
    </row>
    <row r="11" ht="22.5" customHeight="1" spans="2:7">
      <c r="B11" s="1" t="s">
        <v>53</v>
      </c>
      <c r="C11" s="6">
        <f>VLOOKUP(B11,Appointments_Table[],4,FALSE)</f>
        <v>46066</v>
      </c>
      <c r="D11" s="7" t="str">
        <f>VLOOKUP(B11,Appointments_Table[],2,FALSE)</f>
        <v>Omar Farhan</v>
      </c>
      <c r="E11" s="1" t="str">
        <f>VLOOKUP(B11,Appointments_Table[],3,FALSE)</f>
        <v>D007</v>
      </c>
      <c r="F11" s="2">
        <f>VLOOKUP(E11,Doctors_Informaion[],4,FALSE)</f>
        <v>1700</v>
      </c>
      <c r="G11" s="2">
        <f t="shared" si="0"/>
        <v>1700</v>
      </c>
    </row>
    <row r="12" ht="22.5" customHeight="1" spans="2:7">
      <c r="B12" s="1" t="s">
        <v>55</v>
      </c>
      <c r="C12" s="6">
        <f>VLOOKUP(B12,Appointments_Table[],4,FALSE)</f>
        <v>46066</v>
      </c>
      <c r="D12" s="7" t="str">
        <f>VLOOKUP(B12,Appointments_Table[],2,FALSE)</f>
        <v>Ayesha Noor</v>
      </c>
      <c r="E12" s="1" t="str">
        <f>VLOOKUP(B12,Appointments_Table[],3,FALSE)</f>
        <v>D008</v>
      </c>
      <c r="F12" s="2">
        <f>VLOOKUP(E12,Doctors_Informaion[],4,FALSE)</f>
        <v>1500</v>
      </c>
      <c r="G12" s="2">
        <f t="shared" si="0"/>
        <v>1500</v>
      </c>
    </row>
    <row r="13" ht="22.5" customHeight="1" spans="2:7">
      <c r="B13" s="1" t="s">
        <v>57</v>
      </c>
      <c r="C13" s="6">
        <f>VLOOKUP(B13,Appointments_Table[],4,FALSE)</f>
        <v>46066</v>
      </c>
      <c r="D13" s="7" t="str">
        <f>VLOOKUP(B13,Appointments_Table[],2,FALSE)</f>
        <v>Danish Iqbal</v>
      </c>
      <c r="E13" s="1" t="str">
        <f>VLOOKUP(B13,Appointments_Table[],3,FALSE)</f>
        <v>D009</v>
      </c>
      <c r="F13" s="2">
        <f>VLOOKUP(E13,Doctors_Informaion[],4,FALSE)</f>
        <v>2100</v>
      </c>
      <c r="G13" s="2">
        <f t="shared" si="0"/>
        <v>2100</v>
      </c>
    </row>
    <row r="14" ht="22.5" customHeight="1" spans="2:7">
      <c r="B14" s="1" t="s">
        <v>59</v>
      </c>
      <c r="C14" s="6">
        <f>VLOOKUP(B14,Appointments_Table[],4,FALSE)</f>
        <v>46066</v>
      </c>
      <c r="D14" s="7" t="str">
        <f>VLOOKUP(B14,Appointments_Table[],2,FALSE)</f>
        <v>Zainab Tariq</v>
      </c>
      <c r="E14" s="1" t="str">
        <f>VLOOKUP(B14,Appointments_Table[],3,FALSE)</f>
        <v>D010</v>
      </c>
      <c r="F14" s="2">
        <f>VLOOKUP(E14,Doctors_Informaion[],4,FALSE)</f>
        <v>2300</v>
      </c>
      <c r="G14" s="2">
        <f t="shared" si="0"/>
        <v>2300</v>
      </c>
    </row>
    <row r="15" ht="13.2" spans="3:5">
      <c r="C15" s="5"/>
      <c r="E15" s="5"/>
    </row>
    <row r="16" ht="13.2" spans="5:5">
      <c r="E16" s="5"/>
    </row>
  </sheetData>
  <dataValidations count="2">
    <dataValidation type="list" allowBlank="1" sqref="B5:B14">
      <formula1>"A001,A002,A003,A004,A005,A006,A007,A008,A009,A010"</formula1>
    </dataValidation>
    <dataValidation type="list" allowBlank="1" sqref="E5:E14">
      <formula1>"D001,D003,D002,D005,D004,D006,D007,D008,D009,D010"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workbookViewId="0">
      <selection activeCell="A1" sqref="A1"/>
    </sheetView>
  </sheetViews>
  <sheetFormatPr defaultColWidth="12.6296296296296" defaultRowHeight="15.75" customHeight="1" outlineLevelRow="7" outlineLevelCol="4"/>
  <cols>
    <col min="2" max="2" width="15.75" customWidth="1"/>
    <col min="3" max="3" width="16.5" customWidth="1"/>
    <col min="4" max="4" width="16.8796296296296" customWidth="1"/>
  </cols>
  <sheetData>
    <row r="1" ht="13.2" spans="1:1">
      <c r="A1" s="3"/>
    </row>
    <row r="4" ht="22.5" customHeight="1" spans="2:4">
      <c r="B4" s="1" t="s">
        <v>63</v>
      </c>
      <c r="C4" s="1" t="s">
        <v>64</v>
      </c>
      <c r="D4" s="1" t="s">
        <v>65</v>
      </c>
    </row>
    <row r="5" ht="22.5" customHeight="1" spans="2:5">
      <c r="B5" s="4">
        <v>46065</v>
      </c>
      <c r="C5" s="2">
        <f>COUNTIF(Appointments_Table[Appointment Date],B5)</f>
        <v>5</v>
      </c>
      <c r="D5" s="2">
        <f>SUMIF(Billing_Table[Appointment Date],B5,Billing_Table[Total Bill])</f>
        <v>10900</v>
      </c>
      <c r="E5" s="5"/>
    </row>
    <row r="6" ht="22.5" customHeight="1" spans="2:5">
      <c r="B6" s="4">
        <v>46066</v>
      </c>
      <c r="C6" s="2">
        <f>COUNTIF(Appointments_Table[Appointment Date],B6)</f>
        <v>5</v>
      </c>
      <c r="D6" s="2">
        <f>SUMIF(Billing_Table[Appointment Date],B6,Billing_Table[Total Bill])</f>
        <v>10600</v>
      </c>
      <c r="E6" s="5"/>
    </row>
    <row r="7" ht="22.5" customHeight="1" spans="2:5">
      <c r="B7" s="4">
        <v>46067</v>
      </c>
      <c r="C7" s="2">
        <f>COUNTIF(Appointments_Table[Appointment Date],B7)</f>
        <v>0</v>
      </c>
      <c r="D7" s="2">
        <f>SUMIF(Billing_Table[Appointment Date],B7,Billing_Table[Total Bill])</f>
        <v>0</v>
      </c>
      <c r="E7" s="5"/>
    </row>
    <row r="8" ht="22.5" customHeight="1" spans="2:5">
      <c r="B8" s="4">
        <v>46068</v>
      </c>
      <c r="C8" s="2">
        <f>COUNTIF(Appointments_Table[Appointment Date],B8)</f>
        <v>0</v>
      </c>
      <c r="D8" s="2">
        <f>SUMIF(Billing_Table[Appointment Date],B8,Billing_Table[Total Bill])</f>
        <v>0</v>
      </c>
      <c r="E8" s="5"/>
    </row>
  </sheetData>
  <dataValidations count="1">
    <dataValidation type="custom" allowBlank="1" sqref="B5:B8">
      <formula1>OR(NOT(ISERROR(DATEVALUE(B5))),AND(ISNUMBER(B5),LEFT(CELL("format",B5))="D"))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4:E14"/>
  <sheetViews>
    <sheetView workbookViewId="0">
      <selection activeCell="A1" sqref="A1"/>
    </sheetView>
  </sheetViews>
  <sheetFormatPr defaultColWidth="12.6296296296296" defaultRowHeight="15.75" customHeight="1" outlineLevelCol="4"/>
  <cols>
    <col min="2" max="2" width="15.6296296296296" customWidth="1"/>
    <col min="3" max="3" width="18" customWidth="1"/>
    <col min="4" max="4" width="16.75" customWidth="1"/>
    <col min="5" max="5" width="15.8796296296296" customWidth="1"/>
  </cols>
  <sheetData>
    <row r="4" ht="22.5" customHeight="1" spans="2:5">
      <c r="B4" s="1" t="s">
        <v>0</v>
      </c>
      <c r="C4" s="1" t="s">
        <v>1</v>
      </c>
      <c r="D4" s="1" t="s">
        <v>64</v>
      </c>
      <c r="E4" s="1" t="s">
        <v>65</v>
      </c>
    </row>
    <row r="5" ht="22.5" customHeight="1" spans="2:5">
      <c r="B5" s="2" t="s">
        <v>4</v>
      </c>
      <c r="C5" s="2" t="str">
        <f>VLOOKUP(B5,Doctors_Informaion[],2,FALSE)</f>
        <v>Dr. Ayesha Khan</v>
      </c>
      <c r="D5" s="2">
        <f>COUNTIF(Billing_Table[Doctor ID],B5)</f>
        <v>1</v>
      </c>
      <c r="E5" s="2">
        <f>SUMIF(Billing_Table[Doctor ID],B5,Billing_Table[Total Bill])</f>
        <v>2500</v>
      </c>
    </row>
    <row r="6" ht="22.5" customHeight="1" spans="2:5">
      <c r="B6" s="2" t="s">
        <v>7</v>
      </c>
      <c r="C6" s="2" t="str">
        <f>VLOOKUP(B6,Doctors_Informaion[],2,FALSE)</f>
        <v>Dr. Bilal Ahmed</v>
      </c>
      <c r="D6" s="2">
        <f>COUNTIF(Billing_Table[Doctor ID],B6)</f>
        <v>1</v>
      </c>
      <c r="E6" s="2">
        <f>SUMIF(Billing_Table[Doctor ID],B6,Billing_Table[Total Bill])</f>
        <v>1800</v>
      </c>
    </row>
    <row r="7" ht="22.5" customHeight="1" spans="2:5">
      <c r="B7" s="2" t="s">
        <v>10</v>
      </c>
      <c r="C7" s="2" t="str">
        <f>VLOOKUP(B7,Doctors_Informaion[],2,FALSE)</f>
        <v>Dr. Fatima Noor</v>
      </c>
      <c r="D7" s="2">
        <f>COUNTIF(Billing_Table[Doctor ID],B7)</f>
        <v>1</v>
      </c>
      <c r="E7" s="2">
        <f>SUMIF(Billing_Table[Doctor ID],B7,Billing_Table[Total Bill])</f>
        <v>2000</v>
      </c>
    </row>
    <row r="8" ht="22.5" customHeight="1" spans="2:5">
      <c r="B8" s="2" t="s">
        <v>13</v>
      </c>
      <c r="C8" s="2" t="str">
        <f>VLOOKUP(B8,Doctors_Informaion[],2,FALSE)</f>
        <v>Dr. Hamza Ali</v>
      </c>
      <c r="D8" s="2">
        <f>COUNTIF(Billing_Table[Doctor ID],B8)</f>
        <v>1</v>
      </c>
      <c r="E8" s="2">
        <f>SUMIF(Billing_Table[Doctor ID],B8,Billing_Table[Total Bill])</f>
        <v>2200</v>
      </c>
    </row>
    <row r="9" ht="22.5" customHeight="1" spans="2:5">
      <c r="B9" s="2" t="s">
        <v>16</v>
      </c>
      <c r="C9" s="2" t="str">
        <f>VLOOKUP(B9,Doctors_Informaion[],2,FALSE)</f>
        <v>Dr. Sana Malik</v>
      </c>
      <c r="D9" s="2">
        <f>COUNTIF(Billing_Table[Doctor ID],B9)</f>
        <v>1</v>
      </c>
      <c r="E9" s="2">
        <f>SUMIF(Billing_Table[Doctor ID],B9,Billing_Table[Total Bill])</f>
        <v>2400</v>
      </c>
    </row>
    <row r="10" ht="22.5" customHeight="1" spans="2:5">
      <c r="B10" s="2" t="s">
        <v>19</v>
      </c>
      <c r="C10" s="2" t="str">
        <f>VLOOKUP(B10,Doctors_Informaion[],2,FALSE)</f>
        <v>Dr. Usman Tariq</v>
      </c>
      <c r="D10" s="2">
        <f>COUNTIF(Billing_Table[Doctor ID],B10)</f>
        <v>1</v>
      </c>
      <c r="E10" s="2">
        <f>SUMIF(Billing_Table[Doctor ID],B10,Billing_Table[Total Bill])</f>
        <v>3000</v>
      </c>
    </row>
    <row r="11" ht="22.5" customHeight="1" spans="2:5">
      <c r="B11" s="2" t="s">
        <v>22</v>
      </c>
      <c r="C11" s="2" t="str">
        <f>VLOOKUP(B11,Doctors_Informaion[],2,FALSE)</f>
        <v>Dr. Zainab Hussain</v>
      </c>
      <c r="D11" s="2">
        <f>COUNTIF(Billing_Table[Doctor ID],B11)</f>
        <v>1</v>
      </c>
      <c r="E11" s="2">
        <f>SUMIF(Billing_Table[Doctor ID],B11,Billing_Table[Total Bill])</f>
        <v>1700</v>
      </c>
    </row>
    <row r="12" ht="22.5" customHeight="1" spans="2:5">
      <c r="B12" s="2" t="s">
        <v>25</v>
      </c>
      <c r="C12" s="2" t="str">
        <f>VLOOKUP(B12,Doctors_Informaion[],2,FALSE)</f>
        <v>Dr. Omar Farooq</v>
      </c>
      <c r="D12" s="2">
        <f>COUNTIF(Billing_Table[Doctor ID],B12)</f>
        <v>1</v>
      </c>
      <c r="E12" s="2">
        <f>SUMIF(Billing_Table[Doctor ID],B12,Billing_Table[Total Bill])</f>
        <v>1500</v>
      </c>
    </row>
    <row r="13" ht="22.5" customHeight="1" spans="2:5">
      <c r="B13" s="2" t="s">
        <v>28</v>
      </c>
      <c r="C13" s="2" t="str">
        <f>VLOOKUP(B13,Doctors_Informaion[],2,FALSE)</f>
        <v>Dr. Hira Shah</v>
      </c>
      <c r="D13" s="2">
        <f>COUNTIF(Billing_Table[Doctor ID],B13)</f>
        <v>1</v>
      </c>
      <c r="E13" s="2">
        <f>SUMIF(Billing_Table[Doctor ID],B13,Billing_Table[Total Bill])</f>
        <v>2100</v>
      </c>
    </row>
    <row r="14" ht="22.5" customHeight="1" spans="2:5">
      <c r="B14" s="2" t="s">
        <v>31</v>
      </c>
      <c r="C14" s="2" t="str">
        <f>VLOOKUP(B14,Doctors_Informaion[],2,FALSE)</f>
        <v>Dr. Danish Qureshi</v>
      </c>
      <c r="D14" s="2">
        <f>COUNTIF(Billing_Table[Doctor ID],B14)</f>
        <v>1</v>
      </c>
      <c r="E14" s="2">
        <f>SUMIF(Billing_Table[Doctor ID],B14,Billing_Table[Total Bill])</f>
        <v>2300</v>
      </c>
    </row>
  </sheetData>
  <dataValidations count="1">
    <dataValidation type="list" allowBlank="1" sqref="B5:B14">
      <formula1>"D001,D002,D003,D004,D005,D006,D007,D008,D009,D010"</formula1>
    </dataValidation>
  </dataValidations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Doctors Information</vt:lpstr>
      <vt:lpstr>Appointments</vt:lpstr>
      <vt:lpstr>Billing Table</vt:lpstr>
      <vt:lpstr>Daily Revenue</vt:lpstr>
      <vt:lpstr>Doctor-wise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Unzila Ali</cp:lastModifiedBy>
  <dcterms:created xsi:type="dcterms:W3CDTF">2026-02-09T18:28:57Z</dcterms:created>
  <dcterms:modified xsi:type="dcterms:W3CDTF">2026-02-09T18:29:42Z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588B421930A44319AF99ADD9278098EF_13</vt:lpwstr>
  </property>
  <property fmtid="{D5CDD505-2E9C-101B-9397-08002B2CF9AE}" pid="3" name="KSOProductBuildVer">
    <vt:lpwstr>1033-12.2.0.23196</vt:lpwstr>
  </property>
</Properties>
</file>